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202042\Objective\Director\Cache\erdm.scotland.gov.uk uG557\A54284044\"/>
    </mc:Choice>
  </mc:AlternateContent>
  <xr:revisionPtr revIDLastSave="0" documentId="13_ncr:1_{7214D58B-CDD8-4657-9155-E1CECB306A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hargeable Dwellings 2025" sheetId="6" r:id="rId1"/>
  </sheets>
  <definedNames>
    <definedName name="_xlnm.Print_Area" localSheetId="0">'Chargeable Dwellings 2025'!$A$1:$J$41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6" l="1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10" i="6"/>
  <c r="J9" i="6"/>
  <c r="C8" i="6"/>
  <c r="D8" i="6"/>
  <c r="E8" i="6"/>
  <c r="F8" i="6"/>
  <c r="G8" i="6"/>
  <c r="H8" i="6"/>
  <c r="I8" i="6"/>
  <c r="B8" i="6"/>
  <c r="J8" i="6" l="1"/>
</calcChain>
</file>

<file path=xl/sharedStrings.xml><?xml version="1.0" encoding="utf-8"?>
<sst xmlns="http://schemas.openxmlformats.org/spreadsheetml/2006/main" count="65" uniqueCount="65">
  <si>
    <t xml:space="preserve">An Official Statistics Publication for Scotland </t>
  </si>
  <si>
    <t>West Lothian</t>
  </si>
  <si>
    <t>West Dunbartonshire</t>
  </si>
  <si>
    <t>Stirling</t>
  </si>
  <si>
    <t>South Lanarkshire</t>
  </si>
  <si>
    <t>South Ayrshire</t>
  </si>
  <si>
    <t>Shetland Islands</t>
  </si>
  <si>
    <t>Scottish Borders</t>
  </si>
  <si>
    <t>Renfrewshire</t>
  </si>
  <si>
    <t>Perth &amp; Kinross</t>
  </si>
  <si>
    <t>Orkney Islands</t>
  </si>
  <si>
    <t>North Lanarkshire</t>
  </si>
  <si>
    <t>North Ayrshire</t>
  </si>
  <si>
    <t>Moray</t>
  </si>
  <si>
    <t>Midlothian</t>
  </si>
  <si>
    <t>Inverclyde</t>
  </si>
  <si>
    <t>Highland</t>
  </si>
  <si>
    <t>Glasgow City</t>
  </si>
  <si>
    <t>Fife</t>
  </si>
  <si>
    <t>Falkirk</t>
  </si>
  <si>
    <t>East Renfrewshire</t>
  </si>
  <si>
    <t>East Lothian</t>
  </si>
  <si>
    <t>East Dunbartonshire</t>
  </si>
  <si>
    <t>East Ayrshire</t>
  </si>
  <si>
    <t>Dundee City</t>
  </si>
  <si>
    <t>Dumfries &amp; Galloway</t>
  </si>
  <si>
    <t>Clackmannanshire</t>
  </si>
  <si>
    <t>Argyll &amp; Bute</t>
  </si>
  <si>
    <t>Angus</t>
  </si>
  <si>
    <t>Aberdeenshire</t>
  </si>
  <si>
    <t>Aberdeen City</t>
  </si>
  <si>
    <t>Scotland</t>
  </si>
  <si>
    <t>8/9</t>
  </si>
  <si>
    <t>7/9</t>
  </si>
  <si>
    <t>6/9</t>
  </si>
  <si>
    <t>Total</t>
  </si>
  <si>
    <t>Band H</t>
  </si>
  <si>
    <t>Band G</t>
  </si>
  <si>
    <t>Band F</t>
  </si>
  <si>
    <t>Band E</t>
  </si>
  <si>
    <t>Band D</t>
  </si>
  <si>
    <t>Band C</t>
  </si>
  <si>
    <t>Band B</t>
  </si>
  <si>
    <t>Band A</t>
  </si>
  <si>
    <t>£35,001
to £45,000</t>
  </si>
  <si>
    <t>£27,001
to £35,000</t>
  </si>
  <si>
    <t>£45,001
to £58,000</t>
  </si>
  <si>
    <t>£58,001
to £80,000</t>
  </si>
  <si>
    <t>£80,001
to £106,000</t>
  </si>
  <si>
    <t>Under
£27,000</t>
  </si>
  <si>
    <t>Over
£212,000</t>
  </si>
  <si>
    <t>£106,001
to £212,000</t>
  </si>
  <si>
    <t>Ratio to Band D</t>
  </si>
  <si>
    <t>Valuation band ranges 
(1991 values)</t>
  </si>
  <si>
    <t>473/360</t>
  </si>
  <si>
    <t>585/360</t>
  </si>
  <si>
    <t>705/360</t>
  </si>
  <si>
    <t>882/360</t>
  </si>
  <si>
    <t>City of Edinburgh</t>
  </si>
  <si>
    <t>Na h-Eileanan Siar</t>
  </si>
  <si>
    <t>Note: The list of local authorities were re-ordered in 2019 after the relabelling of "City of Edinburgh" (from "Edinburgh, City of") and "Na h-Eileanan Siar" (from "Eilean Siar").</t>
  </si>
  <si>
    <t>More information on Official Statistics can be found at:</t>
  </si>
  <si>
    <t>https://www.gov.scot/about/how-government-is-run/statistics-and-research/</t>
  </si>
  <si>
    <t>Number of Chargeable Dwellings - September 2025</t>
  </si>
  <si>
    <r>
      <rPr>
        <b/>
        <sz val="10"/>
        <rFont val="Arial"/>
        <family val="2"/>
      </rPr>
      <t>Source:</t>
    </r>
    <r>
      <rPr>
        <sz val="10"/>
        <rFont val="Arial"/>
        <family val="2"/>
      </rPr>
      <t xml:space="preserve"> Number of chargeable dwellings on the valuation list as reported by local authorities in the statistical return 'Council Tax Base', 1 September 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</si>
</sst>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8.5"/>
      <color indexed="12"/>
      <name val="Arial"/>
      <family val="2"/>
    </font>
    <font>
      <u/>
      <sz val="10"/>
      <color indexed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</borders>
  <cellStyleXfs count="1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0" fillId="3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right" vertical="center" wrapText="1"/>
    </xf>
    <xf numFmtId="0" fontId="9" fillId="3" borderId="0" xfId="0" applyFont="1" applyFill="1" applyAlignment="1">
      <alignment vertical="center"/>
    </xf>
    <xf numFmtId="3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7" fillId="3" borderId="0" xfId="0" applyFont="1" applyFill="1" applyAlignment="1">
      <alignment vertical="center"/>
    </xf>
    <xf numFmtId="3" fontId="6" fillId="3" borderId="0" xfId="0" applyNumberFormat="1" applyFont="1" applyFill="1" applyAlignment="1" applyProtection="1">
      <alignment vertical="center"/>
      <protection locked="0"/>
    </xf>
    <xf numFmtId="0" fontId="5" fillId="3" borderId="0" xfId="0" applyFont="1" applyFill="1" applyAlignment="1">
      <alignment vertical="center"/>
    </xf>
    <xf numFmtId="165" fontId="0" fillId="3" borderId="0" xfId="11" applyNumberFormat="1" applyFont="1" applyFill="1"/>
    <xf numFmtId="3" fontId="11" fillId="3" borderId="0" xfId="0" applyNumberFormat="1" applyFont="1" applyFill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0" fontId="2" fillId="3" borderId="0" xfId="0" quotePrefix="1" applyFont="1" applyFill="1"/>
    <xf numFmtId="0" fontId="2" fillId="3" borderId="0" xfId="0" applyFont="1" applyFill="1"/>
    <xf numFmtId="0" fontId="2" fillId="5" borderId="0" xfId="7" applyFill="1"/>
    <xf numFmtId="0" fontId="0" fillId="5" borderId="3" xfId="0" applyFill="1" applyBorder="1"/>
    <xf numFmtId="0" fontId="0" fillId="5" borderId="0" xfId="0" applyFill="1"/>
    <xf numFmtId="0" fontId="4" fillId="0" borderId="0" xfId="1" applyFont="1" applyAlignment="1" applyProtection="1"/>
    <xf numFmtId="0" fontId="2" fillId="5" borderId="0" xfId="0" quotePrefix="1" applyFont="1" applyFill="1"/>
    <xf numFmtId="165" fontId="0" fillId="3" borderId="0" xfId="11" applyNumberFormat="1" applyFont="1" applyFill="1" applyAlignment="1">
      <alignment vertical="center"/>
    </xf>
  </cellXfs>
  <cellStyles count="12">
    <cellStyle name="%" xfId="3" xr:uid="{00000000-0005-0000-0000-000000000000}"/>
    <cellStyle name="Comma 2" xfId="4" xr:uid="{00000000-0005-0000-0000-000001000000}"/>
    <cellStyle name="Hyperlink" xfId="1" builtinId="8"/>
    <cellStyle name="Hyperlink 2" xfId="6" xr:uid="{00000000-0005-0000-0000-000003000000}"/>
    <cellStyle name="Hyperlink 3" xfId="5" xr:uid="{00000000-0005-0000-0000-000004000000}"/>
    <cellStyle name="Normal" xfId="0" builtinId="0"/>
    <cellStyle name="Normal 2" xfId="7" xr:uid="{00000000-0005-0000-0000-000006000000}"/>
    <cellStyle name="Normal 2 2" xfId="8" xr:uid="{00000000-0005-0000-0000-000007000000}"/>
    <cellStyle name="Normal 3" xfId="9" xr:uid="{00000000-0005-0000-0000-000008000000}"/>
    <cellStyle name="Normal 4" xfId="2" xr:uid="{00000000-0005-0000-0000-000009000000}"/>
    <cellStyle name="Per cent" xfId="11" builtinId="5"/>
    <cellStyle name="Percent 2" xfId="10" xr:uid="{00000000-0005-0000-0000-00000B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Relationship Type="http://schemas.openxmlformats.org/officeDocument/2006/relationships/customXml" Target="/customXML/item2.xml" Id="Racb92ed2ada943a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v.scot/about/how-government-is-run/statistics-and-resear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Normal="100" workbookViewId="0">
      <selection activeCell="I2" sqref="I2"/>
    </sheetView>
  </sheetViews>
  <sheetFormatPr defaultColWidth="9.1796875" defaultRowHeight="12.5" x14ac:dyDescent="0.25"/>
  <cols>
    <col min="1" max="1" width="20.1796875" style="1" customWidth="1"/>
    <col min="2" max="9" width="12.7265625" style="1" customWidth="1"/>
    <col min="10" max="10" width="16.54296875" style="1" customWidth="1"/>
    <col min="11" max="11" width="4.1796875" style="1" customWidth="1"/>
    <col min="12" max="12" width="10.26953125" style="1" customWidth="1"/>
    <col min="13" max="13" width="6.6328125" style="1" customWidth="1"/>
    <col min="14" max="16384" width="9.1796875" style="1"/>
  </cols>
  <sheetData>
    <row r="1" spans="1:13" ht="20.149999999999999" customHeight="1" x14ac:dyDescent="0.25">
      <c r="A1" s="11" t="s">
        <v>63</v>
      </c>
    </row>
    <row r="2" spans="1:13" s="2" customFormat="1" ht="18" customHeight="1" x14ac:dyDescent="0.25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3" ht="18" customHeight="1" x14ac:dyDescent="0.25">
      <c r="A3" s="22" t="s">
        <v>61</v>
      </c>
      <c r="B3" s="23"/>
      <c r="C3" s="24"/>
      <c r="D3" s="25" t="s">
        <v>62</v>
      </c>
      <c r="E3" s="26"/>
      <c r="F3" s="26"/>
      <c r="G3" s="26"/>
      <c r="H3" s="26"/>
      <c r="I3" s="26"/>
      <c r="J3" s="14"/>
    </row>
    <row r="4" spans="1:13" ht="18" customHeight="1" x14ac:dyDescent="0.25">
      <c r="A4" s="22"/>
      <c r="B4" s="24"/>
      <c r="C4" s="24"/>
      <c r="D4" s="25"/>
      <c r="E4" s="26"/>
      <c r="F4" s="26"/>
      <c r="G4" s="26"/>
      <c r="H4" s="26"/>
      <c r="I4" s="26"/>
      <c r="J4" s="14"/>
    </row>
    <row r="5" spans="1:13" s="2" customFormat="1" ht="13" x14ac:dyDescent="0.25">
      <c r="A5" s="3"/>
      <c r="B5" s="4" t="s">
        <v>43</v>
      </c>
      <c r="C5" s="4" t="s">
        <v>42</v>
      </c>
      <c r="D5" s="4" t="s">
        <v>41</v>
      </c>
      <c r="E5" s="4" t="s">
        <v>40</v>
      </c>
      <c r="F5" s="4" t="s">
        <v>39</v>
      </c>
      <c r="G5" s="4" t="s">
        <v>38</v>
      </c>
      <c r="H5" s="4" t="s">
        <v>37</v>
      </c>
      <c r="I5" s="4" t="s">
        <v>36</v>
      </c>
      <c r="J5" s="4" t="s">
        <v>35</v>
      </c>
    </row>
    <row r="6" spans="1:13" s="2" customFormat="1" ht="29.25" customHeight="1" x14ac:dyDescent="0.25">
      <c r="A6" s="6" t="s">
        <v>53</v>
      </c>
      <c r="B6" s="7" t="s">
        <v>49</v>
      </c>
      <c r="C6" s="7" t="s">
        <v>45</v>
      </c>
      <c r="D6" s="7" t="s">
        <v>44</v>
      </c>
      <c r="E6" s="7" t="s">
        <v>46</v>
      </c>
      <c r="F6" s="7" t="s">
        <v>47</v>
      </c>
      <c r="G6" s="7" t="s">
        <v>48</v>
      </c>
      <c r="H6" s="7" t="s">
        <v>51</v>
      </c>
      <c r="I6" s="7" t="s">
        <v>50</v>
      </c>
      <c r="J6" s="5"/>
    </row>
    <row r="7" spans="1:13" s="2" customFormat="1" x14ac:dyDescent="0.25">
      <c r="A7" s="3" t="s">
        <v>52</v>
      </c>
      <c r="B7" s="5" t="s">
        <v>34</v>
      </c>
      <c r="C7" s="5" t="s">
        <v>33</v>
      </c>
      <c r="D7" s="5" t="s">
        <v>32</v>
      </c>
      <c r="E7" s="5">
        <v>1</v>
      </c>
      <c r="F7" s="5" t="s">
        <v>54</v>
      </c>
      <c r="G7" s="5" t="s">
        <v>55</v>
      </c>
      <c r="H7" s="5" t="s">
        <v>56</v>
      </c>
      <c r="I7" s="5" t="s">
        <v>57</v>
      </c>
      <c r="J7" s="5"/>
    </row>
    <row r="8" spans="1:13" s="2" customFormat="1" ht="13" x14ac:dyDescent="0.25">
      <c r="A8" s="8" t="s">
        <v>31</v>
      </c>
      <c r="B8" s="15">
        <f>SUM(B9:B40)</f>
        <v>498707</v>
      </c>
      <c r="C8" s="15">
        <f t="shared" ref="C8:I8" si="0">SUM(C9:C40)</f>
        <v>583705</v>
      </c>
      <c r="D8" s="15">
        <f t="shared" si="0"/>
        <v>426388</v>
      </c>
      <c r="E8" s="15">
        <f t="shared" si="0"/>
        <v>369621</v>
      </c>
      <c r="F8" s="15">
        <f t="shared" si="0"/>
        <v>366881</v>
      </c>
      <c r="G8" s="15">
        <f t="shared" si="0"/>
        <v>221282</v>
      </c>
      <c r="H8" s="15">
        <f t="shared" si="0"/>
        <v>142084</v>
      </c>
      <c r="I8" s="15">
        <f t="shared" si="0"/>
        <v>14481</v>
      </c>
      <c r="J8" s="15">
        <f>SUM(B8:I8)</f>
        <v>2623149</v>
      </c>
      <c r="L8" s="9"/>
      <c r="M8" s="27"/>
    </row>
    <row r="9" spans="1:13" s="2" customFormat="1" x14ac:dyDescent="0.25">
      <c r="A9" s="10" t="s">
        <v>30</v>
      </c>
      <c r="B9" s="16">
        <v>20080</v>
      </c>
      <c r="C9" s="16">
        <v>26983</v>
      </c>
      <c r="D9" s="16">
        <v>19177</v>
      </c>
      <c r="E9" s="16">
        <v>16285</v>
      </c>
      <c r="F9" s="16">
        <v>15598</v>
      </c>
      <c r="G9" s="16">
        <v>9144</v>
      </c>
      <c r="H9" s="16">
        <v>8335</v>
      </c>
      <c r="I9" s="16">
        <v>1163</v>
      </c>
      <c r="J9" s="16">
        <f>SUM(B9:I9)</f>
        <v>116765</v>
      </c>
      <c r="L9" s="9"/>
      <c r="M9" s="27"/>
    </row>
    <row r="10" spans="1:13" s="2" customFormat="1" x14ac:dyDescent="0.25">
      <c r="A10" s="2" t="s">
        <v>29</v>
      </c>
      <c r="B10" s="17">
        <v>19137</v>
      </c>
      <c r="C10" s="17">
        <v>15689</v>
      </c>
      <c r="D10" s="17">
        <v>14250</v>
      </c>
      <c r="E10" s="17">
        <v>18481</v>
      </c>
      <c r="F10" s="17">
        <v>22638</v>
      </c>
      <c r="G10" s="17">
        <v>17742</v>
      </c>
      <c r="H10" s="17">
        <v>11652</v>
      </c>
      <c r="I10" s="17">
        <v>645</v>
      </c>
      <c r="J10" s="17">
        <f>SUM(B10:I10)</f>
        <v>120234</v>
      </c>
      <c r="L10" s="9"/>
    </row>
    <row r="11" spans="1:13" s="2" customFormat="1" x14ac:dyDescent="0.25">
      <c r="A11" s="10" t="s">
        <v>28</v>
      </c>
      <c r="B11" s="16">
        <v>14223</v>
      </c>
      <c r="C11" s="16">
        <v>12595</v>
      </c>
      <c r="D11" s="16">
        <v>7271</v>
      </c>
      <c r="E11" s="16">
        <v>9093</v>
      </c>
      <c r="F11" s="16">
        <v>8268</v>
      </c>
      <c r="G11" s="16">
        <v>3346</v>
      </c>
      <c r="H11" s="16">
        <v>1778</v>
      </c>
      <c r="I11" s="16">
        <v>148</v>
      </c>
      <c r="J11" s="16">
        <f t="shared" ref="J11:J40" si="1">SUM(B11:I11)</f>
        <v>56722</v>
      </c>
    </row>
    <row r="12" spans="1:13" s="2" customFormat="1" x14ac:dyDescent="0.25">
      <c r="A12" s="2" t="s">
        <v>27</v>
      </c>
      <c r="B12" s="17">
        <v>7079</v>
      </c>
      <c r="C12" s="17">
        <v>9849</v>
      </c>
      <c r="D12" s="17">
        <v>9100</v>
      </c>
      <c r="E12" s="17">
        <v>6274</v>
      </c>
      <c r="F12" s="17">
        <v>7614</v>
      </c>
      <c r="G12" s="17">
        <v>4573</v>
      </c>
      <c r="H12" s="17">
        <v>3055</v>
      </c>
      <c r="I12" s="17">
        <v>244</v>
      </c>
      <c r="J12" s="17">
        <f t="shared" si="1"/>
        <v>47788</v>
      </c>
    </row>
    <row r="13" spans="1:13" s="2" customFormat="1" x14ac:dyDescent="0.25">
      <c r="A13" s="10" t="s">
        <v>58</v>
      </c>
      <c r="B13" s="16">
        <v>20539</v>
      </c>
      <c r="C13" s="16">
        <v>45381</v>
      </c>
      <c r="D13" s="16">
        <v>44114</v>
      </c>
      <c r="E13" s="16">
        <v>41485</v>
      </c>
      <c r="F13" s="16">
        <v>42786</v>
      </c>
      <c r="G13" s="16">
        <v>26045</v>
      </c>
      <c r="H13" s="16">
        <v>23814</v>
      </c>
      <c r="I13" s="16">
        <v>4306</v>
      </c>
      <c r="J13" s="16">
        <f t="shared" si="1"/>
        <v>248470</v>
      </c>
    </row>
    <row r="14" spans="1:13" s="2" customFormat="1" x14ac:dyDescent="0.25">
      <c r="A14" s="2" t="s">
        <v>26</v>
      </c>
      <c r="B14" s="17">
        <v>5931</v>
      </c>
      <c r="C14" s="17">
        <v>7114</v>
      </c>
      <c r="D14" s="17">
        <v>2128</v>
      </c>
      <c r="E14" s="17">
        <v>2787</v>
      </c>
      <c r="F14" s="17">
        <v>3468</v>
      </c>
      <c r="G14" s="17">
        <v>2089</v>
      </c>
      <c r="H14" s="17">
        <v>943</v>
      </c>
      <c r="I14" s="17">
        <v>49</v>
      </c>
      <c r="J14" s="17">
        <f t="shared" si="1"/>
        <v>24509</v>
      </c>
    </row>
    <row r="15" spans="1:13" s="2" customFormat="1" x14ac:dyDescent="0.25">
      <c r="A15" s="10" t="s">
        <v>25</v>
      </c>
      <c r="B15" s="16">
        <v>10409</v>
      </c>
      <c r="C15" s="16">
        <v>21992</v>
      </c>
      <c r="D15" s="16">
        <v>12269</v>
      </c>
      <c r="E15" s="16">
        <v>10375</v>
      </c>
      <c r="F15" s="16">
        <v>10822</v>
      </c>
      <c r="G15" s="16">
        <v>5639</v>
      </c>
      <c r="H15" s="16">
        <v>2670</v>
      </c>
      <c r="I15" s="16">
        <v>152</v>
      </c>
      <c r="J15" s="16">
        <f t="shared" si="1"/>
        <v>74328</v>
      </c>
    </row>
    <row r="16" spans="1:13" s="2" customFormat="1" x14ac:dyDescent="0.25">
      <c r="A16" s="2" t="s">
        <v>24</v>
      </c>
      <c r="B16" s="17">
        <v>25080</v>
      </c>
      <c r="C16" s="17">
        <v>16065</v>
      </c>
      <c r="D16" s="17">
        <v>9032</v>
      </c>
      <c r="E16" s="17">
        <v>9326</v>
      </c>
      <c r="F16" s="17">
        <v>7078</v>
      </c>
      <c r="G16" s="17">
        <v>2548</v>
      </c>
      <c r="H16" s="17">
        <v>1155</v>
      </c>
      <c r="I16" s="17">
        <v>37</v>
      </c>
      <c r="J16" s="17">
        <f t="shared" si="1"/>
        <v>70321</v>
      </c>
    </row>
    <row r="17" spans="1:10" s="2" customFormat="1" x14ac:dyDescent="0.25">
      <c r="A17" s="10" t="s">
        <v>23</v>
      </c>
      <c r="B17" s="16">
        <v>24798</v>
      </c>
      <c r="C17" s="16">
        <v>9101</v>
      </c>
      <c r="D17" s="16">
        <v>5739</v>
      </c>
      <c r="E17" s="16">
        <v>7120</v>
      </c>
      <c r="F17" s="16">
        <v>6880</v>
      </c>
      <c r="G17" s="16">
        <v>3899</v>
      </c>
      <c r="H17" s="16">
        <v>1074</v>
      </c>
      <c r="I17" s="16">
        <v>49</v>
      </c>
      <c r="J17" s="16">
        <f t="shared" si="1"/>
        <v>58660</v>
      </c>
    </row>
    <row r="18" spans="1:10" s="2" customFormat="1" x14ac:dyDescent="0.25">
      <c r="A18" s="2" t="s">
        <v>22</v>
      </c>
      <c r="B18" s="17">
        <v>1007</v>
      </c>
      <c r="C18" s="17">
        <v>3565</v>
      </c>
      <c r="D18" s="17">
        <v>8298</v>
      </c>
      <c r="E18" s="17">
        <v>8660</v>
      </c>
      <c r="F18" s="17">
        <v>10601</v>
      </c>
      <c r="G18" s="17">
        <v>7274</v>
      </c>
      <c r="H18" s="17">
        <v>7195</v>
      </c>
      <c r="I18" s="17">
        <v>683</v>
      </c>
      <c r="J18" s="17">
        <f t="shared" si="1"/>
        <v>47283</v>
      </c>
    </row>
    <row r="19" spans="1:10" s="2" customFormat="1" x14ac:dyDescent="0.25">
      <c r="A19" s="10" t="s">
        <v>21</v>
      </c>
      <c r="B19" s="16">
        <v>1113</v>
      </c>
      <c r="C19" s="16">
        <v>9222</v>
      </c>
      <c r="D19" s="16">
        <v>15232</v>
      </c>
      <c r="E19" s="16">
        <v>7207</v>
      </c>
      <c r="F19" s="16">
        <v>7451</v>
      </c>
      <c r="G19" s="16">
        <v>6564</v>
      </c>
      <c r="H19" s="16">
        <v>5401</v>
      </c>
      <c r="I19" s="16">
        <v>719</v>
      </c>
      <c r="J19" s="16">
        <f t="shared" si="1"/>
        <v>52909</v>
      </c>
    </row>
    <row r="20" spans="1:10" s="2" customFormat="1" x14ac:dyDescent="0.25">
      <c r="A20" s="2" t="s">
        <v>20</v>
      </c>
      <c r="B20" s="17">
        <v>1202</v>
      </c>
      <c r="C20" s="17">
        <v>5031</v>
      </c>
      <c r="D20" s="17">
        <v>4003</v>
      </c>
      <c r="E20" s="17">
        <v>6921</v>
      </c>
      <c r="F20" s="17">
        <v>8506</v>
      </c>
      <c r="G20" s="17">
        <v>6773</v>
      </c>
      <c r="H20" s="17">
        <v>7103</v>
      </c>
      <c r="I20" s="17">
        <v>800</v>
      </c>
      <c r="J20" s="17">
        <f t="shared" si="1"/>
        <v>40339</v>
      </c>
    </row>
    <row r="21" spans="1:10" s="2" customFormat="1" x14ac:dyDescent="0.25">
      <c r="A21" s="10" t="s">
        <v>19</v>
      </c>
      <c r="B21" s="16">
        <v>21249</v>
      </c>
      <c r="C21" s="16">
        <v>18991</v>
      </c>
      <c r="D21" s="16">
        <v>7050</v>
      </c>
      <c r="E21" s="16">
        <v>9357</v>
      </c>
      <c r="F21" s="16">
        <v>9192</v>
      </c>
      <c r="G21" s="16">
        <v>6158</v>
      </c>
      <c r="H21" s="16">
        <v>3107</v>
      </c>
      <c r="I21" s="16">
        <v>81</v>
      </c>
      <c r="J21" s="16">
        <f t="shared" si="1"/>
        <v>75185</v>
      </c>
    </row>
    <row r="22" spans="1:10" s="2" customFormat="1" x14ac:dyDescent="0.25">
      <c r="A22" s="2" t="s">
        <v>18</v>
      </c>
      <c r="B22" s="17">
        <v>38349</v>
      </c>
      <c r="C22" s="17">
        <v>47026</v>
      </c>
      <c r="D22" s="17">
        <v>23711</v>
      </c>
      <c r="E22" s="17">
        <v>21723</v>
      </c>
      <c r="F22" s="17">
        <v>24425</v>
      </c>
      <c r="G22" s="17">
        <v>14593</v>
      </c>
      <c r="H22" s="17">
        <v>6975</v>
      </c>
      <c r="I22" s="17">
        <v>436</v>
      </c>
      <c r="J22" s="17">
        <f t="shared" si="1"/>
        <v>177238</v>
      </c>
    </row>
    <row r="23" spans="1:10" s="2" customFormat="1" x14ac:dyDescent="0.25">
      <c r="A23" s="10" t="s">
        <v>17</v>
      </c>
      <c r="B23" s="16">
        <v>55147</v>
      </c>
      <c r="C23" s="16">
        <v>76975</v>
      </c>
      <c r="D23" s="16">
        <v>69457</v>
      </c>
      <c r="E23" s="16">
        <v>43107</v>
      </c>
      <c r="F23" s="16">
        <v>31117</v>
      </c>
      <c r="G23" s="16">
        <v>14081</v>
      </c>
      <c r="H23" s="16">
        <v>6499</v>
      </c>
      <c r="I23" s="16">
        <v>638</v>
      </c>
      <c r="J23" s="16">
        <f t="shared" si="1"/>
        <v>297021</v>
      </c>
    </row>
    <row r="24" spans="1:10" s="2" customFormat="1" x14ac:dyDescent="0.25">
      <c r="A24" s="2" t="s">
        <v>16</v>
      </c>
      <c r="B24" s="17">
        <v>18253</v>
      </c>
      <c r="C24" s="17">
        <v>22729</v>
      </c>
      <c r="D24" s="17">
        <v>24549</v>
      </c>
      <c r="E24" s="17">
        <v>20652</v>
      </c>
      <c r="F24" s="17">
        <v>20128</v>
      </c>
      <c r="G24" s="17">
        <v>10203</v>
      </c>
      <c r="H24" s="17">
        <v>4806</v>
      </c>
      <c r="I24" s="17">
        <v>338</v>
      </c>
      <c r="J24" s="17">
        <f t="shared" si="1"/>
        <v>121658</v>
      </c>
    </row>
    <row r="25" spans="1:10" s="2" customFormat="1" x14ac:dyDescent="0.25">
      <c r="A25" s="10" t="s">
        <v>15</v>
      </c>
      <c r="B25" s="16">
        <v>17422</v>
      </c>
      <c r="C25" s="16">
        <v>6013</v>
      </c>
      <c r="D25" s="16">
        <v>3720</v>
      </c>
      <c r="E25" s="16">
        <v>3465</v>
      </c>
      <c r="F25" s="16">
        <v>3623</v>
      </c>
      <c r="G25" s="16">
        <v>1904</v>
      </c>
      <c r="H25" s="16">
        <v>1410</v>
      </c>
      <c r="I25" s="16">
        <v>215</v>
      </c>
      <c r="J25" s="16">
        <f t="shared" si="1"/>
        <v>37772</v>
      </c>
    </row>
    <row r="26" spans="1:10" s="2" customFormat="1" x14ac:dyDescent="0.25">
      <c r="A26" s="2" t="s">
        <v>14</v>
      </c>
      <c r="B26" s="17">
        <v>919</v>
      </c>
      <c r="C26" s="17">
        <v>12427</v>
      </c>
      <c r="D26" s="17">
        <v>11087</v>
      </c>
      <c r="E26" s="17">
        <v>6016</v>
      </c>
      <c r="F26" s="17">
        <v>5650</v>
      </c>
      <c r="G26" s="17">
        <v>4819</v>
      </c>
      <c r="H26" s="17">
        <v>3226</v>
      </c>
      <c r="I26" s="17">
        <v>185</v>
      </c>
      <c r="J26" s="17">
        <f t="shared" si="1"/>
        <v>44329</v>
      </c>
    </row>
    <row r="27" spans="1:10" s="2" customFormat="1" x14ac:dyDescent="0.25">
      <c r="A27" s="10" t="s">
        <v>13</v>
      </c>
      <c r="B27" s="16">
        <v>11189</v>
      </c>
      <c r="C27" s="16">
        <v>10202</v>
      </c>
      <c r="D27" s="16">
        <v>7030</v>
      </c>
      <c r="E27" s="16">
        <v>6594</v>
      </c>
      <c r="F27" s="16">
        <v>6706</v>
      </c>
      <c r="G27" s="16">
        <v>2578</v>
      </c>
      <c r="H27" s="16">
        <v>724</v>
      </c>
      <c r="I27" s="16">
        <v>51</v>
      </c>
      <c r="J27" s="16">
        <f t="shared" si="1"/>
        <v>45074</v>
      </c>
    </row>
    <row r="28" spans="1:10" s="2" customFormat="1" x14ac:dyDescent="0.25">
      <c r="A28" s="2" t="s">
        <v>59</v>
      </c>
      <c r="B28" s="17">
        <v>4568</v>
      </c>
      <c r="C28" s="17">
        <v>3809</v>
      </c>
      <c r="D28" s="17">
        <v>2787</v>
      </c>
      <c r="E28" s="17">
        <v>1870</v>
      </c>
      <c r="F28" s="17">
        <v>1388</v>
      </c>
      <c r="G28" s="17">
        <v>198</v>
      </c>
      <c r="H28" s="17">
        <v>29</v>
      </c>
      <c r="I28" s="17">
        <v>5</v>
      </c>
      <c r="J28" s="17">
        <f t="shared" si="1"/>
        <v>14654</v>
      </c>
    </row>
    <row r="29" spans="1:10" s="2" customFormat="1" x14ac:dyDescent="0.25">
      <c r="A29" s="10" t="s">
        <v>12</v>
      </c>
      <c r="B29" s="16">
        <v>20491</v>
      </c>
      <c r="C29" s="16">
        <v>18169</v>
      </c>
      <c r="D29" s="16">
        <v>7614</v>
      </c>
      <c r="E29" s="16">
        <v>7363</v>
      </c>
      <c r="F29" s="16">
        <v>9194</v>
      </c>
      <c r="G29" s="16">
        <v>4273</v>
      </c>
      <c r="H29" s="16">
        <v>1274</v>
      </c>
      <c r="I29" s="16">
        <v>61</v>
      </c>
      <c r="J29" s="16">
        <f t="shared" si="1"/>
        <v>68439</v>
      </c>
    </row>
    <row r="30" spans="1:10" s="2" customFormat="1" x14ac:dyDescent="0.25">
      <c r="A30" s="2" t="s">
        <v>11</v>
      </c>
      <c r="B30" s="17">
        <v>50044</v>
      </c>
      <c r="C30" s="17">
        <v>37340</v>
      </c>
      <c r="D30" s="17">
        <v>20354</v>
      </c>
      <c r="E30" s="17">
        <v>18499</v>
      </c>
      <c r="F30" s="17">
        <v>17649</v>
      </c>
      <c r="G30" s="17">
        <v>10806</v>
      </c>
      <c r="H30" s="17">
        <v>3174</v>
      </c>
      <c r="I30" s="17">
        <v>169</v>
      </c>
      <c r="J30" s="17">
        <f t="shared" si="1"/>
        <v>158035</v>
      </c>
    </row>
    <row r="31" spans="1:10" s="2" customFormat="1" x14ac:dyDescent="0.25">
      <c r="A31" s="10" t="s">
        <v>10</v>
      </c>
      <c r="B31" s="16">
        <v>2106</v>
      </c>
      <c r="C31" s="16">
        <v>2814</v>
      </c>
      <c r="D31" s="16">
        <v>2442</v>
      </c>
      <c r="E31" s="16">
        <v>1943</v>
      </c>
      <c r="F31" s="16">
        <v>1608</v>
      </c>
      <c r="G31" s="16">
        <v>394</v>
      </c>
      <c r="H31" s="16">
        <v>27</v>
      </c>
      <c r="I31" s="16">
        <v>5</v>
      </c>
      <c r="J31" s="16">
        <f t="shared" si="1"/>
        <v>11339</v>
      </c>
    </row>
    <row r="32" spans="1:10" s="2" customFormat="1" x14ac:dyDescent="0.25">
      <c r="A32" s="2" t="s">
        <v>9</v>
      </c>
      <c r="B32" s="17">
        <v>8116</v>
      </c>
      <c r="C32" s="17">
        <v>14442</v>
      </c>
      <c r="D32" s="17">
        <v>12656</v>
      </c>
      <c r="E32" s="17">
        <v>11760</v>
      </c>
      <c r="F32" s="17">
        <v>12146</v>
      </c>
      <c r="G32" s="17">
        <v>8339</v>
      </c>
      <c r="H32" s="17">
        <v>6747</v>
      </c>
      <c r="I32" s="17">
        <v>696</v>
      </c>
      <c r="J32" s="17">
        <f t="shared" si="1"/>
        <v>74902</v>
      </c>
    </row>
    <row r="33" spans="1:10" s="2" customFormat="1" x14ac:dyDescent="0.25">
      <c r="A33" s="10" t="s">
        <v>8</v>
      </c>
      <c r="B33" s="16">
        <v>11261</v>
      </c>
      <c r="C33" s="16">
        <v>24360</v>
      </c>
      <c r="D33" s="16">
        <v>14984</v>
      </c>
      <c r="E33" s="16">
        <v>13473</v>
      </c>
      <c r="F33" s="16">
        <v>11548</v>
      </c>
      <c r="G33" s="16">
        <v>7153</v>
      </c>
      <c r="H33" s="16">
        <v>4455</v>
      </c>
      <c r="I33" s="16">
        <v>194</v>
      </c>
      <c r="J33" s="16">
        <f t="shared" si="1"/>
        <v>87428</v>
      </c>
    </row>
    <row r="34" spans="1:10" s="2" customFormat="1" x14ac:dyDescent="0.25">
      <c r="A34" s="2" t="s">
        <v>7</v>
      </c>
      <c r="B34" s="17">
        <v>15664</v>
      </c>
      <c r="C34" s="17">
        <v>12387</v>
      </c>
      <c r="D34" s="17">
        <v>7235</v>
      </c>
      <c r="E34" s="17">
        <v>6215</v>
      </c>
      <c r="F34" s="17">
        <v>6504</v>
      </c>
      <c r="G34" s="17">
        <v>5033</v>
      </c>
      <c r="H34" s="17">
        <v>4734</v>
      </c>
      <c r="I34" s="17">
        <v>493</v>
      </c>
      <c r="J34" s="17">
        <f t="shared" si="1"/>
        <v>58265</v>
      </c>
    </row>
    <row r="35" spans="1:10" s="2" customFormat="1" x14ac:dyDescent="0.25">
      <c r="A35" s="10" t="s">
        <v>6</v>
      </c>
      <c r="B35" s="16">
        <v>2848</v>
      </c>
      <c r="C35" s="16">
        <v>1812</v>
      </c>
      <c r="D35" s="16">
        <v>2842</v>
      </c>
      <c r="E35" s="16">
        <v>1902</v>
      </c>
      <c r="F35" s="16">
        <v>1535</v>
      </c>
      <c r="G35" s="16">
        <v>326</v>
      </c>
      <c r="H35" s="16">
        <v>73</v>
      </c>
      <c r="I35" s="16">
        <v>1</v>
      </c>
      <c r="J35" s="16">
        <f t="shared" si="1"/>
        <v>11339</v>
      </c>
    </row>
    <row r="36" spans="1:10" s="2" customFormat="1" x14ac:dyDescent="0.25">
      <c r="A36" s="2" t="s">
        <v>5</v>
      </c>
      <c r="B36" s="17">
        <v>6684</v>
      </c>
      <c r="C36" s="17">
        <v>12512</v>
      </c>
      <c r="D36" s="17">
        <v>8857</v>
      </c>
      <c r="E36" s="17">
        <v>8564</v>
      </c>
      <c r="F36" s="17">
        <v>9757</v>
      </c>
      <c r="G36" s="17">
        <v>5378</v>
      </c>
      <c r="H36" s="17">
        <v>3477</v>
      </c>
      <c r="I36" s="17">
        <v>301</v>
      </c>
      <c r="J36" s="17">
        <f t="shared" si="1"/>
        <v>55530</v>
      </c>
    </row>
    <row r="37" spans="1:10" s="2" customFormat="1" x14ac:dyDescent="0.25">
      <c r="A37" s="10" t="s">
        <v>4</v>
      </c>
      <c r="B37" s="16">
        <v>34485</v>
      </c>
      <c r="C37" s="16">
        <v>29815</v>
      </c>
      <c r="D37" s="16">
        <v>26508</v>
      </c>
      <c r="E37" s="16">
        <v>22424</v>
      </c>
      <c r="F37" s="16">
        <v>20953</v>
      </c>
      <c r="G37" s="16">
        <v>14415</v>
      </c>
      <c r="H37" s="16">
        <v>7359</v>
      </c>
      <c r="I37" s="16">
        <v>594</v>
      </c>
      <c r="J37" s="16">
        <f t="shared" si="1"/>
        <v>156553</v>
      </c>
    </row>
    <row r="38" spans="1:10" s="2" customFormat="1" x14ac:dyDescent="0.25">
      <c r="A38" s="2" t="s">
        <v>3</v>
      </c>
      <c r="B38" s="17">
        <v>5336</v>
      </c>
      <c r="C38" s="17">
        <v>8288</v>
      </c>
      <c r="D38" s="17">
        <v>4335</v>
      </c>
      <c r="E38" s="17">
        <v>4914</v>
      </c>
      <c r="F38" s="17">
        <v>6462</v>
      </c>
      <c r="G38" s="17">
        <v>5389</v>
      </c>
      <c r="H38" s="17">
        <v>5572</v>
      </c>
      <c r="I38" s="17">
        <v>750</v>
      </c>
      <c r="J38" s="17">
        <f t="shared" si="1"/>
        <v>41046</v>
      </c>
    </row>
    <row r="39" spans="1:10" s="2" customFormat="1" x14ac:dyDescent="0.25">
      <c r="A39" s="10" t="s">
        <v>2</v>
      </c>
      <c r="B39" s="16">
        <v>7179</v>
      </c>
      <c r="C39" s="16">
        <v>16446</v>
      </c>
      <c r="D39" s="16">
        <v>7708</v>
      </c>
      <c r="E39" s="16">
        <v>6144</v>
      </c>
      <c r="F39" s="16">
        <v>4862</v>
      </c>
      <c r="G39" s="16">
        <v>1791</v>
      </c>
      <c r="H39" s="16">
        <v>835</v>
      </c>
      <c r="I39" s="16">
        <v>70</v>
      </c>
      <c r="J39" s="16">
        <f t="shared" si="1"/>
        <v>45035</v>
      </c>
    </row>
    <row r="40" spans="1:10" s="2" customFormat="1" ht="13" thickBot="1" x14ac:dyDescent="0.3">
      <c r="A40" s="18" t="s">
        <v>1</v>
      </c>
      <c r="B40" s="18">
        <v>16799</v>
      </c>
      <c r="C40" s="18">
        <v>24561</v>
      </c>
      <c r="D40" s="18">
        <v>10849</v>
      </c>
      <c r="E40" s="18">
        <v>9622</v>
      </c>
      <c r="F40" s="18">
        <v>10724</v>
      </c>
      <c r="G40" s="18">
        <v>7815</v>
      </c>
      <c r="H40" s="18">
        <v>3406</v>
      </c>
      <c r="I40" s="18">
        <v>203</v>
      </c>
      <c r="J40" s="19">
        <f t="shared" si="1"/>
        <v>83979</v>
      </c>
    </row>
    <row r="41" spans="1:10" ht="25" customHeight="1" x14ac:dyDescent="0.3">
      <c r="A41" s="21" t="s">
        <v>64</v>
      </c>
    </row>
    <row r="42" spans="1:10" s="21" customFormat="1" x14ac:dyDescent="0.25">
      <c r="A42" s="20" t="s">
        <v>60</v>
      </c>
    </row>
  </sheetData>
  <hyperlinks>
    <hyperlink ref="D3" r:id="rId1" xr:uid="{00000000-0004-0000-0000-000000000000}"/>
  </hyperlinks>
  <pageMargins left="0.51181102362204722" right="0.31496062992125984" top="0.74803149606299213" bottom="0.55118110236220474" header="0.31496062992125984" footer="0.31496062992125984"/>
  <pageSetup paperSize="9" scale="97" fitToWidth="0" fitToHeight="0" orientation="portrait" r:id="rId2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53D26341A57B383EE0540010E0463CCA" version="1.0.0">
  <systemFields>
    <field name="Objective-Id">
      <value order="0">A54284044</value>
    </field>
    <field name="Objective-Title">
      <value order="0">CTAXBASE 2025 - Tables - Chargeable Dwellings</value>
    </field>
    <field name="Objective-Description">
      <value order="0"/>
    </field>
    <field name="Objective-CreationStamp">
      <value order="0">2025-10-06T14:20:14Z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2025-10-09T09:51:29Z</value>
    </field>
    <field name="Objective-Owner">
      <value order="0">Hunter, Jon J (U202042)</value>
    </field>
    <field name="Objective-Path">
      <value order="0">Objective Global Folder:SG File Plan:Government, politics and public administration:Local government:Finance - Council tax and non-domestic rates:Research and analysis: Finance - Council tax and non-domestic rates:Statistical: Statistical returns - Council tax 2025-26: Research and analysis: Finance - Council tax and domestic rates: 2025-2030</value>
    </field>
    <field name="Objective-Parent">
      <value order="0">Statistical: Statistical returns - Council tax 2025-26: Research and analysis: Finance - Council tax and domestic rates: 2025-2030</value>
    </field>
    <field name="Objective-State">
      <value order="0">Being Drafted</value>
    </field>
    <field name="Objective-VersionId">
      <value order="0">vA82196238</value>
    </field>
    <field name="Objective-Version">
      <value order="0">0.2</value>
    </field>
    <field name="Objective-VersionNumber">
      <value order="0">2</value>
    </field>
    <field name="Objective-VersionComment">
      <value order="0"/>
    </field>
    <field name="Objective-FileNumber">
      <value order="0">PUBRES/4614</value>
    </field>
    <field name="Objective-Classification">
      <value order="0">OFFICIAL-SENSITIVE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  <field name="Objective-Shared By">
        <value order="0"/>
      </field>
      <field name="Objective-Access Conditions">
        <value order="0"/>
      </field>
      <field name="Objective-Access Status">
        <value order="0"/>
      </field>
      <field name="Objective-Date Open From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Chargeable Dwellings 2025</vt:lpstr>
      <vt:lpstr>'Chargeable Dwellings 2025'!Print_Area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Melling MA (Maria)</dc:creator>
  <cp:lastModifiedBy>Jon Hunter</cp:lastModifiedBy>
  <cp:lastPrinted>2018-10-11T10:50:57Z</cp:lastPrinted>
  <dcterms:created xsi:type="dcterms:W3CDTF">2013-10-22T12:42:21Z</dcterms:created>
  <dcterms:modified xsi:type="dcterms:W3CDTF">2025-10-09T09:51:14Z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A54284044</vt:lpwstr>
  </property>
  <property fmtid="{D5CDD505-2E9C-101B-9397-08002B2CF9AE}" pid="4" name="Objective-Title">
    <vt:lpwstr>CTAXBASE 2025 - Tables - Chargeable Dwellings</vt:lpwstr>
  </property>
  <property fmtid="{D5CDD505-2E9C-101B-9397-08002B2CF9AE}" pid="5" name="Objective-Comment">
    <vt:lpwstr/>
  </property>
  <property fmtid="{D5CDD505-2E9C-101B-9397-08002B2CF9AE}" pid="6" name="Objective-CreationStamp">
    <vt:filetime>2025-10-06T14:20:14Z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2025-10-09T09:51:29Z</vt:filetime>
  </property>
  <property fmtid="{D5CDD505-2E9C-101B-9397-08002B2CF9AE}" pid="11" name="Objective-Owner">
    <vt:lpwstr>Hunter, Jon J (U202042)</vt:lpwstr>
  </property>
  <property fmtid="{D5CDD505-2E9C-101B-9397-08002B2CF9AE}" pid="12" name="Objective-Path">
    <vt:lpwstr>Objective Global Folder:SG File Plan:Government, politics and public administration:Local government:Finance - Council tax and non-domestic rates:Research and analysis: Finance - Council tax and non-domestic rates:Statistical: Statistical returns - Council tax 2025-26: Research and analysis: Finance - Council tax and domestic rates: 2025-2030</vt:lpwstr>
  </property>
  <property fmtid="{D5CDD505-2E9C-101B-9397-08002B2CF9AE}" pid="13" name="Objective-Parent">
    <vt:lpwstr>Statistical: Statistical returns - Council tax 2025-26: Research and analysis: Finance - Council tax and domestic rates: 2025-2030</vt:lpwstr>
  </property>
  <property fmtid="{D5CDD505-2E9C-101B-9397-08002B2CF9AE}" pid="14" name="Objective-State">
    <vt:lpwstr>Being Drafted</vt:lpwstr>
  </property>
  <property fmtid="{D5CDD505-2E9C-101B-9397-08002B2CF9AE}" pid="15" name="Objective-Version">
    <vt:lpwstr>0.2</vt:lpwstr>
  </property>
  <property fmtid="{D5CDD505-2E9C-101B-9397-08002B2CF9AE}" pid="16" name="Objective-VersionNumber">
    <vt:r8>2</vt:r8>
  </property>
  <property fmtid="{D5CDD505-2E9C-101B-9397-08002B2CF9AE}" pid="17" name="Objective-VersionComment">
    <vt:lpwstr/>
  </property>
  <property fmtid="{D5CDD505-2E9C-101B-9397-08002B2CF9AE}" pid="18" name="Objective-FileNumber">
    <vt:lpwstr>PUBRES/4614</vt:lpwstr>
  </property>
  <property fmtid="{D5CDD505-2E9C-101B-9397-08002B2CF9AE}" pid="19" name="Objective-Classification">
    <vt:lpwstr>OFFICIAL-SENSITIVE</vt:lpwstr>
  </property>
  <property fmtid="{D5CDD505-2E9C-101B-9397-08002B2CF9AE}" pid="20" name="Objective-Caveats">
    <vt:lpwstr>Caveat for access to SG Fileplan</vt:lpwstr>
  </property>
  <property fmtid="{D5CDD505-2E9C-101B-9397-08002B2CF9AE}" pid="21" name="Objective-Date of Original [system]">
    <vt:lpwstr/>
  </property>
  <property fmtid="{D5CDD505-2E9C-101B-9397-08002B2CF9AE}" pid="22" name="Objective-Date Received [system]">
    <vt:lpwstr/>
  </property>
  <property fmtid="{D5CDD505-2E9C-101B-9397-08002B2CF9AE}" pid="23" name="Objective-SG Web Publication - Category [system]">
    <vt:lpwstr/>
  </property>
  <property fmtid="{D5CDD505-2E9C-101B-9397-08002B2CF9AE}" pid="24" name="Objective-SG Web Publication - Category 2 Classification [system]">
    <vt:lpwstr/>
  </property>
  <property fmtid="{D5CDD505-2E9C-101B-9397-08002B2CF9AE}" pid="25" name="Objective-Description">
    <vt:lpwstr/>
  </property>
  <property fmtid="{D5CDD505-2E9C-101B-9397-08002B2CF9AE}" pid="26" name="Objective-VersionId">
    <vt:lpwstr>vA82196238</vt:lpwstr>
  </property>
  <property fmtid="{D5CDD505-2E9C-101B-9397-08002B2CF9AE}" pid="27" name="Objective-Date Received">
    <vt:lpwstr/>
  </property>
  <property fmtid="{D5CDD505-2E9C-101B-9397-08002B2CF9AE}" pid="28" name="Objective-Date of Original">
    <vt:lpwstr/>
  </property>
  <property fmtid="{D5CDD505-2E9C-101B-9397-08002B2CF9AE}" pid="29" name="Objective-SG Web Publication - Category">
    <vt:lpwstr/>
  </property>
  <property fmtid="{D5CDD505-2E9C-101B-9397-08002B2CF9AE}" pid="30" name="Objective-SG Web Publication - Category 2 Classification">
    <vt:lpwstr/>
  </property>
  <property fmtid="{D5CDD505-2E9C-101B-9397-08002B2CF9AE}" pid="31" name="Objective-Connect Creator">
    <vt:lpwstr/>
  </property>
  <property fmtid="{D5CDD505-2E9C-101B-9397-08002B2CF9AE}" pid="32" name="Objective-Connect Creator [system]">
    <vt:lpwstr/>
  </property>
  <property fmtid="{D5CDD505-2E9C-101B-9397-08002B2CF9AE}" pid="33" name="Objective-Required Redaction">
    <vt:lpwstr/>
  </property>
  <property fmtid="{D5CDD505-2E9C-101B-9397-08002B2CF9AE}" pid="34" name="Objective-Shared By">
    <vt:lpwstr/>
  </property>
  <property fmtid="{D5CDD505-2E9C-101B-9397-08002B2CF9AE}" pid="35" name="Objective-Access Conditions">
    <vt:lpwstr/>
  </property>
  <property fmtid="{D5CDD505-2E9C-101B-9397-08002B2CF9AE}" pid="36" name="Objective-Access Status">
    <vt:lpwstr/>
  </property>
  <property fmtid="{D5CDD505-2E9C-101B-9397-08002B2CF9AE}" pid="37" name="Objective-Date Open From">
    <vt:lpwstr/>
  </property>
</Properties>
</file>